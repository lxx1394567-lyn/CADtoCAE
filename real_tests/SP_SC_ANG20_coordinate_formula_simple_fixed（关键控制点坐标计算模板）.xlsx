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坐标计算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<sst xmlns="http://schemas.openxmlformats.org/spreadsheetml/2006/main" count="171" uniqueCount="104">
  <si>
    <t>单桩单立柱 20deg 坐标计算与校核总表</t>
  </si>
  <si>
    <t>参数名</t>
  </si>
  <si>
    <t>参数含义</t>
  </si>
  <si>
    <t>数值</t>
  </si>
  <si>
    <t>单位</t>
  </si>
  <si>
    <t>校核状态</t>
  </si>
  <si>
    <t>备注</t>
  </si>
  <si>
    <t/>
  </si>
  <si>
    <t>theta_deg</t>
  </si>
  <si>
    <t>斜梁倾角</t>
  </si>
  <si>
    <t>deg</t>
  </si>
  <si>
    <t>已确认</t>
  </si>
  <si>
    <t>斜梁局部轴线相对全局水平 X 轴的夹角。</t>
  </si>
  <si>
    <t>Z_A_mm</t>
  </si>
  <si>
    <t>A 点高度</t>
  </si>
  <si>
    <t>mm</t>
  </si>
  <si>
    <t>需人工确认</t>
  </si>
  <si>
    <t>A 为上立柱上顶点。A 与 F 不再假定同高。</t>
  </si>
  <si>
    <t>X_F_mm</t>
  </si>
  <si>
    <t>F 点 X 坐标</t>
  </si>
  <si>
    <t>F 为斜梁与上立柱/三角连接件参考交点。第一版由人工填写。</t>
  </si>
  <si>
    <t>Z_F_mm</t>
  </si>
  <si>
    <t>F 点高度</t>
  </si>
  <si>
    <t>F 高度需由三角连接件/斜梁截面位置校核。</t>
  </si>
  <si>
    <t>Z_BD_mm</t>
  </si>
  <si>
    <t>B/D 点共同高度</t>
  </si>
  <si>
    <t>B、D 为前后斜撑与抱箍交点，第一版假定同高。</t>
  </si>
  <si>
    <t>R_hoop_mm</t>
  </si>
  <si>
    <t>抱箍连接点水平偏移</t>
  </si>
  <si>
    <t>B=(-R,0,Z_BD)，D=(+R,0,Z_BD)。该值会显著影响 BC/DE 校核。</t>
  </si>
  <si>
    <t>GC_mm</t>
  </si>
  <si>
    <t>G 到 C 的斜梁局部里程</t>
  </si>
  <si>
    <t>G 为斜梁左端局部起点；C 为斜梁与前斜撑交点截面。</t>
  </si>
  <si>
    <t>GF_mm</t>
  </si>
  <si>
    <t>G 到 F 的斜梁局部里程</t>
  </si>
  <si>
    <t>F 为斜梁与上立柱/三角连接件参考截面。</t>
  </si>
  <si>
    <t>GE_mm</t>
  </si>
  <si>
    <t>G 到 E 的斜梁局部里程</t>
  </si>
  <si>
    <t>E 为斜梁与后斜撑交点截面；需按图纸斜梁尺寸链复核。</t>
  </si>
  <si>
    <t>L_BC_draw_mm</t>
  </si>
  <si>
    <t>图纸标注 BC 长度</t>
  </si>
  <si>
    <t>用于 BC 段 ±1mm 校核。</t>
  </si>
  <si>
    <t>L_DE_draw_mm</t>
  </si>
  <si>
    <t>图纸标注 DE 长度</t>
  </si>
  <si>
    <t>用于 DE 段 ±1mm 校核。</t>
  </si>
  <si>
    <t>origin_px_x</t>
  </si>
  <si>
    <t>图纸标注原点像素 X</t>
  </si>
  <si>
    <t>px</t>
  </si>
  <si>
    <t>仅影响图纸标注记录中的像素位置，不影响 Abaqus 坐标。</t>
  </si>
  <si>
    <t>origin_px_y</t>
  </si>
  <si>
    <t>图纸标注原点像素 Y</t>
  </si>
  <si>
    <t>scale_px_per_m</t>
  </si>
  <si>
    <t>图纸标注比例</t>
  </si>
  <si>
    <t>px/m</t>
  </si>
  <si>
    <t>control_tolerance_m</t>
  </si>
  <si>
    <t>BC/DE 长度允许误差</t>
  </si>
  <si>
    <t>m</t>
  </si>
  <si>
    <t>默认 ±1mm。</t>
  </si>
  <si>
    <t>angle_tolerance_deg</t>
  </si>
  <si>
    <t>CE 角度允许误差</t>
  </si>
  <si>
    <t>默认 0.05°。</t>
  </si>
  <si>
    <t>关键输出参数</t>
  </si>
  <si>
    <t>点名</t>
  </si>
  <si>
    <t>X_m</t>
  </si>
  <si>
    <t>Y_m</t>
  </si>
  <si>
    <t>Z_m</t>
  </si>
  <si>
    <t>说明</t>
  </si>
  <si>
    <t>A</t>
  </si>
  <si>
    <t>上立柱上顶点</t>
  </si>
  <si>
    <t>B</t>
  </si>
  <si>
    <t>前斜撑与抱箍交点</t>
  </si>
  <si>
    <t>C</t>
  </si>
  <si>
    <t>斜梁与前斜撑交点</t>
  </si>
  <si>
    <t>D</t>
  </si>
  <si>
    <t>后斜撑与抱箍交点</t>
  </si>
  <si>
    <t>E</t>
  </si>
  <si>
    <t>斜梁与后斜撑交点</t>
  </si>
  <si>
    <t>F</t>
  </si>
  <si>
    <t>斜梁与上立柱/三角连接件参考交点</t>
  </si>
  <si>
    <t>G_global</t>
  </si>
  <si>
    <t>斜梁局部起点派生全局位置</t>
  </si>
  <si>
    <t>校核结果</t>
  </si>
  <si>
    <t>校核项</t>
  </si>
  <si>
    <t>计算值</t>
  </si>
  <si>
    <t>图纸/输入值</t>
  </si>
  <si>
    <t>误差</t>
  </si>
  <si>
    <t>允许误差</t>
  </si>
  <si>
    <t>是否通过</t>
  </si>
  <si>
    <t>GC_GF_GE_ORDER</t>
  </si>
  <si>
    <t>GC &lt; GF &lt; GE</t>
  </si>
  <si>
    <t>斜梁局部截面顺序</t>
  </si>
  <si>
    <t>CF_LOCAL</t>
  </si>
  <si>
    <t>GF-GC</t>
  </si>
  <si>
    <t>C-F 局部距离</t>
  </si>
  <si>
    <t>FE_LOCAL</t>
  </si>
  <si>
    <t>GE-GF</t>
  </si>
  <si>
    <t>F-E 局部距离</t>
  </si>
  <si>
    <t>CE_ANGLE</t>
  </si>
  <si>
    <t>CE 与 +X 夹角</t>
  </si>
  <si>
    <t>BC</t>
  </si>
  <si>
    <t>前斜撑长度校核</t>
  </si>
  <si>
    <t>DE</t>
  </si>
  <si>
    <t>后斜撑长度校核</t>
  </si>
  <si>
    <t>控制点示意图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</si>
</sst>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F2937"/>
      <name val="Carlito"/>
      <charset val="134"/>
    </font>
    <font>
      <sz val="1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176" fontId="3" fillId="0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44</xdr:row>
      <xdr:rowOff>0</xdr:rowOff>
    </xdr:from>
    <xdr:ext cx="6858000" cy="5073650"/>
    <xdr:pic>
      <xdr:nvPicPr>
        <xdr:cNvPr id="2" name="aa309ee2-219d-46f8-8196-ad2959702d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001000"/>
          <a:ext cx="6858000" cy="5073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showGridLines="0" tabSelected="1" workbookViewId="0">
      <selection activeCell="C7" sqref="C7"/>
    </sheetView>
  </sheetViews>
  <sheetFormatPr defaultColWidth="9" defaultRowHeight="14"/>
  <cols>
    <col min="1" max="1" width="20" customWidth="1"/>
    <col min="2" max="2" width="30" customWidth="1"/>
    <col min="3" max="3" width="12" customWidth="1"/>
    <col min="4" max="4" width="10" customWidth="1"/>
    <col min="5" max="5" width="16" customWidth="1"/>
    <col min="6" max="6" width="52" customWidth="1"/>
    <col min="7" max="8" width="14" customWidth="1"/>
    <col min="9" max="10" width="12" customWidth="1"/>
  </cols>
  <sheetData>
    <row r="1" ht="28" customHeight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t="s">
        <v>7</v>
      </c>
      <c r="H3" t="s">
        <v>7</v>
      </c>
      <c r="I3" t="s">
        <v>7</v>
      </c>
      <c r="J3" t="s">
        <v>7</v>
      </c>
    </row>
    <row r="4" spans="1:10">
      <c r="A4" s="3" t="s">
        <v>8</v>
      </c>
      <c r="B4" s="3" t="s">
        <v>9</v>
      </c>
      <c r="C4" s="4">
        <v>18</v>
      </c>
      <c r="D4" s="3" t="s">
        <v>10</v>
      </c>
      <c r="E4" s="4" t="s">
        <v>11</v>
      </c>
      <c r="F4" s="3" t="s">
        <v>12</v>
      </c>
    </row>
    <row r="5" spans="1:10">
      <c r="A5" s="3" t="s">
        <v>13</v>
      </c>
      <c r="B5" s="3" t="s">
        <v>14</v>
      </c>
      <c r="C5" s="4">
        <v>3000</v>
      </c>
      <c r="D5" s="3" t="s">
        <v>15</v>
      </c>
      <c r="E5" s="4" t="s">
        <v>16</v>
      </c>
      <c r="F5" s="3" t="s">
        <v>17</v>
      </c>
    </row>
    <row r="6" spans="1:10">
      <c r="A6" s="3" t="s">
        <v>18</v>
      </c>
      <c r="B6" s="3" t="s">
        <v>19</v>
      </c>
      <c r="C6" s="4">
        <v>15</v>
      </c>
      <c r="D6" s="3" t="s">
        <v>15</v>
      </c>
      <c r="E6" s="4" t="s">
        <v>16</v>
      </c>
      <c r="F6" s="3" t="s">
        <v>20</v>
      </c>
    </row>
    <row r="7" spans="1:10">
      <c r="A7" s="3" t="s">
        <v>21</v>
      </c>
      <c r="B7" s="3" t="s">
        <v>22</v>
      </c>
      <c r="C7" s="4">
        <v>3100</v>
      </c>
      <c r="D7" s="3" t="s">
        <v>15</v>
      </c>
      <c r="E7" s="4" t="s">
        <v>16</v>
      </c>
      <c r="F7" s="3" t="s">
        <v>23</v>
      </c>
    </row>
    <row r="8" spans="1:10">
      <c r="A8" s="3" t="s">
        <v>24</v>
      </c>
      <c r="B8" s="3" t="s">
        <v>25</v>
      </c>
      <c r="C8" s="4">
        <v>1100</v>
      </c>
      <c r="D8" s="3" t="s">
        <v>15</v>
      </c>
      <c r="E8" s="4" t="s">
        <v>11</v>
      </c>
      <c r="F8" s="3" t="s">
        <v>26</v>
      </c>
    </row>
    <row r="9" spans="1:10">
      <c r="A9" s="3" t="s">
        <v>27</v>
      </c>
      <c r="B9" s="3" t="s">
        <v>28</v>
      </c>
      <c r="C9" s="4">
        <v>100</v>
      </c>
      <c r="D9" s="3" t="s">
        <v>15</v>
      </c>
      <c r="E9" s="4" t="s">
        <v>16</v>
      </c>
      <c r="F9" s="3" t="s">
        <v>29</v>
      </c>
    </row>
    <row r="10" spans="1:10">
      <c r="A10" s="3" t="s">
        <v>30</v>
      </c>
      <c r="B10" s="3" t="s">
        <v>31</v>
      </c>
      <c r="C10" s="4">
        <v>320</v>
      </c>
      <c r="D10" s="3" t="s">
        <v>15</v>
      </c>
      <c r="E10" s="4" t="s">
        <v>16</v>
      </c>
      <c r="F10" s="3" t="s">
        <v>32</v>
      </c>
    </row>
    <row r="11" spans="1:10">
      <c r="A11" s="3" t="s">
        <v>33</v>
      </c>
      <c r="B11" s="3" t="s">
        <v>34</v>
      </c>
      <c r="C11" s="4">
        <v>2009</v>
      </c>
      <c r="D11" s="3" t="s">
        <v>15</v>
      </c>
      <c r="E11" s="4" t="s">
        <v>16</v>
      </c>
      <c r="F11" s="3" t="s">
        <v>35</v>
      </c>
    </row>
    <row r="12" spans="1:10">
      <c r="A12" s="3" t="s">
        <v>36</v>
      </c>
      <c r="B12" s="3" t="s">
        <v>37</v>
      </c>
      <c r="C12" s="4">
        <v>3629</v>
      </c>
      <c r="D12" s="3" t="s">
        <v>15</v>
      </c>
      <c r="E12" s="4" t="s">
        <v>16</v>
      </c>
      <c r="F12" s="3" t="s">
        <v>38</v>
      </c>
    </row>
    <row r="13" spans="1:10">
      <c r="A13" s="3" t="s">
        <v>39</v>
      </c>
      <c r="B13" s="3" t="s">
        <v>40</v>
      </c>
      <c r="C13" s="4">
        <v>2105</v>
      </c>
      <c r="D13" s="3" t="s">
        <v>15</v>
      </c>
      <c r="E13" s="4" t="s">
        <v>11</v>
      </c>
      <c r="F13" s="3" t="s">
        <v>41</v>
      </c>
    </row>
    <row r="14" spans="1:10">
      <c r="A14" s="3" t="s">
        <v>42</v>
      </c>
      <c r="B14" s="3" t="s">
        <v>43</v>
      </c>
      <c r="C14" s="4">
        <v>2899</v>
      </c>
      <c r="D14" s="3" t="s">
        <v>15</v>
      </c>
      <c r="E14" s="4" t="s">
        <v>11</v>
      </c>
      <c r="F14" s="3" t="s">
        <v>44</v>
      </c>
    </row>
    <row r="15" spans="1:10">
      <c r="A15" s="3" t="s">
        <v>45</v>
      </c>
      <c r="B15" s="3" t="s">
        <v>46</v>
      </c>
      <c r="C15" s="4">
        <v>523</v>
      </c>
      <c r="D15" s="3" t="s">
        <v>47</v>
      </c>
      <c r="E15" s="4" t="s">
        <v>11</v>
      </c>
      <c r="F15" s="3" t="s">
        <v>48</v>
      </c>
    </row>
    <row r="16" spans="1:10">
      <c r="A16" s="3" t="s">
        <v>49</v>
      </c>
      <c r="B16" s="3" t="s">
        <v>50</v>
      </c>
      <c r="C16" s="4">
        <v>770</v>
      </c>
      <c r="D16" s="3" t="s">
        <v>47</v>
      </c>
      <c r="E16" s="4" t="s">
        <v>11</v>
      </c>
      <c r="F16" s="3" t="s">
        <v>48</v>
      </c>
    </row>
    <row r="17" spans="1:6">
      <c r="A17" s="3" t="s">
        <v>51</v>
      </c>
      <c r="B17" s="3" t="s">
        <v>52</v>
      </c>
      <c r="C17" s="4">
        <v>170</v>
      </c>
      <c r="D17" s="3" t="s">
        <v>53</v>
      </c>
      <c r="E17" s="4" t="s">
        <v>11</v>
      </c>
      <c r="F17" s="3" t="s">
        <v>48</v>
      </c>
    </row>
    <row r="18" spans="1:6">
      <c r="A18" s="3" t="s">
        <v>54</v>
      </c>
      <c r="B18" s="3" t="s">
        <v>55</v>
      </c>
      <c r="C18" s="4">
        <v>0.01</v>
      </c>
      <c r="D18" s="3" t="s">
        <v>56</v>
      </c>
      <c r="E18" s="4" t="s">
        <v>11</v>
      </c>
      <c r="F18" s="3" t="s">
        <v>57</v>
      </c>
    </row>
    <row r="19" spans="1:6">
      <c r="A19" s="3" t="s">
        <v>58</v>
      </c>
      <c r="B19" s="3" t="s">
        <v>59</v>
      </c>
      <c r="C19" s="4">
        <v>0.05</v>
      </c>
      <c r="D19" s="3" t="s">
        <v>10</v>
      </c>
      <c r="E19" s="4" t="s">
        <v>11</v>
      </c>
      <c r="F19" s="3" t="s">
        <v>60</v>
      </c>
    </row>
    <row r="22" spans="1:6">
      <c r="A22" s="2" t="s">
        <v>61</v>
      </c>
      <c r="B22" s="2" t="s">
        <v>7</v>
      </c>
      <c r="C22" s="2" t="s">
        <v>7</v>
      </c>
      <c r="D22" s="2" t="s">
        <v>7</v>
      </c>
      <c r="E22" s="2" t="s">
        <v>7</v>
      </c>
      <c r="F22" s="2" t="s">
        <v>7</v>
      </c>
    </row>
    <row r="23" spans="1:6">
      <c r="A23" s="2" t="s">
        <v>62</v>
      </c>
      <c r="B23" s="2" t="s">
        <v>63</v>
      </c>
      <c r="C23" s="2" t="s">
        <v>64</v>
      </c>
      <c r="D23" s="2" t="s">
        <v>65</v>
      </c>
      <c r="E23" s="2" t="s">
        <v>5</v>
      </c>
      <c r="F23" s="2" t="s">
        <v>66</v>
      </c>
    </row>
    <row r="24" spans="1:6">
      <c r="A24" s="3" t="s">
        <v>67</v>
      </c>
      <c r="B24" s="5">
        <f>0</f>
        <v>0</v>
      </c>
      <c r="C24" s="5">
        <f t="shared" ref="C24:C30" si="0">0</f>
        <v>0</v>
      </c>
      <c r="D24" s="5">
        <f>($C$5/1000)</f>
        <v>3</v>
      </c>
      <c r="E24" s="3" t="str">
        <f>IF(AND($E$5="已确认"),"已确认","需人工确认")</f>
        <v>需人工确认</v>
      </c>
      <c r="F24" s="3" t="s">
        <v>68</v>
      </c>
    </row>
    <row r="25" spans="1:6">
      <c r="A25" s="3" t="s">
        <v>69</v>
      </c>
      <c r="B25" s="5">
        <f>-($C$9/1000)</f>
        <v>-0.1</v>
      </c>
      <c r="C25" s="5">
        <f t="shared" si="0"/>
        <v>0</v>
      </c>
      <c r="D25" s="5">
        <f>($C$8/1000)</f>
        <v>1.1</v>
      </c>
      <c r="E25" s="3" t="str">
        <f>IF(AND($E$8="已确认",$E$9="已确认"),"已确认","需人工确认")</f>
        <v>需人工确认</v>
      </c>
      <c r="F25" s="3" t="s">
        <v>70</v>
      </c>
    </row>
    <row r="26" spans="1:6">
      <c r="A26" s="3" t="s">
        <v>71</v>
      </c>
      <c r="B26" s="5">
        <f>($C$6/1000)+(($C$10/1000)-($C$11/1000))*COS(RADIANS($C$4))</f>
        <v>-1.59133445602251</v>
      </c>
      <c r="C26" s="5">
        <f t="shared" si="0"/>
        <v>0</v>
      </c>
      <c r="D26" s="5">
        <f>($C$7/1000)+(($C$10/1000)-($C$11/1000))*SIN(RADIANS($C$4))</f>
        <v>2.57807029650071</v>
      </c>
      <c r="E26" s="3" t="str">
        <f>IF(AND($E$6="已确认",$E$7="已确认",$E$10="已确认",$E$11="已确认",$E$4="已确认"),"已确认","需人工确认")</f>
        <v>需人工确认</v>
      </c>
      <c r="F26" s="3" t="s">
        <v>72</v>
      </c>
    </row>
    <row r="27" spans="1:6">
      <c r="A27" s="3" t="s">
        <v>73</v>
      </c>
      <c r="B27" s="5">
        <f>($C$9/1000)</f>
        <v>0.1</v>
      </c>
      <c r="C27" s="5">
        <f t="shared" si="0"/>
        <v>0</v>
      </c>
      <c r="D27" s="5">
        <f>($C$8/1000)</f>
        <v>1.1</v>
      </c>
      <c r="E27" s="3" t="str">
        <f>IF(AND($E$8="已确认",$E$9="已确认"),"已确认","需人工确认")</f>
        <v>需人工确认</v>
      </c>
      <c r="F27" s="3" t="s">
        <v>74</v>
      </c>
    </row>
    <row r="28" spans="1:6">
      <c r="A28" s="3" t="s">
        <v>75</v>
      </c>
      <c r="B28" s="5">
        <f>($C$6/1000)+(($C$12/1000)-($C$11/1000))*COS(RADIANS($C$4))</f>
        <v>1.55571155639815</v>
      </c>
      <c r="C28" s="5">
        <f t="shared" si="0"/>
        <v>0</v>
      </c>
      <c r="D28" s="5">
        <f>($C$7/1000)+(($C$12/1000)-($C$11/1000))*SIN(RADIANS($C$4))</f>
        <v>3.60060753088741</v>
      </c>
      <c r="E28" s="3" t="str">
        <f>IF(AND($E$6="已确认",$E$7="已确认",$E$12="已确认",$E$11="已确认",$E$4="已确认"),"已确认","需人工确认")</f>
        <v>需人工确认</v>
      </c>
      <c r="F28" s="3" t="s">
        <v>76</v>
      </c>
    </row>
    <row r="29" spans="1:6">
      <c r="A29" s="3" t="s">
        <v>77</v>
      </c>
      <c r="B29" s="5">
        <f>($C$6/1000)</f>
        <v>0.015</v>
      </c>
      <c r="C29" s="5">
        <f t="shared" si="0"/>
        <v>0</v>
      </c>
      <c r="D29" s="5">
        <f>($C$7/1000)</f>
        <v>3.1</v>
      </c>
      <c r="E29" s="3" t="str">
        <f>IF(AND($E$6="已确认",$E$7="已确认"),"已确认","需人工确认")</f>
        <v>需人工确认</v>
      </c>
      <c r="F29" s="3" t="s">
        <v>78</v>
      </c>
    </row>
    <row r="30" spans="1:6">
      <c r="A30" s="3" t="s">
        <v>79</v>
      </c>
      <c r="B30" s="5">
        <f>($C$6/1000)-($C$11/1000)*COS(RADIANS($C$4))</f>
        <v>-1.89567254123696</v>
      </c>
      <c r="C30" s="5">
        <f t="shared" si="0"/>
        <v>0</v>
      </c>
      <c r="D30" s="5">
        <f>($C$7/1000)-($C$11/1000)*SIN(RADIANS($C$4))</f>
        <v>2.47918485830073</v>
      </c>
      <c r="E30" s="3" t="str">
        <f>IF(AND($E$6="已确认",$E$7="已确认",$E$11="已确认",$E$4="已确认"),"已确认","需人工确认")</f>
        <v>需人工确认</v>
      </c>
      <c r="F30" s="3" t="s">
        <v>80</v>
      </c>
    </row>
    <row r="33" spans="1:8">
      <c r="A33" s="2" t="s">
        <v>81</v>
      </c>
      <c r="B33" s="2" t="s">
        <v>7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2" t="s">
        <v>7</v>
      </c>
    </row>
    <row r="34" spans="1:8">
      <c r="A34" s="2" t="s">
        <v>82</v>
      </c>
      <c r="B34" s="2" t="s">
        <v>83</v>
      </c>
      <c r="C34" s="2" t="s">
        <v>84</v>
      </c>
      <c r="D34" s="2" t="s">
        <v>85</v>
      </c>
      <c r="E34" s="2" t="s">
        <v>86</v>
      </c>
      <c r="F34" s="2" t="s">
        <v>87</v>
      </c>
      <c r="G34" s="2" t="s">
        <v>5</v>
      </c>
      <c r="H34" s="2" t="s">
        <v>6</v>
      </c>
    </row>
    <row r="35" spans="1:8">
      <c r="A35" s="3" t="s">
        <v>88</v>
      </c>
      <c r="B35" s="5" t="str">
        <f>"GC="&amp;TEXT(($C$10/1000),"0.000")&amp;", GF="&amp;TEXT(($C$11/1000),"0.000")&amp;", GE="&amp;TEXT(($C$12/1000),"0.000")</f>
        <v>GC=0.320, GF=2.009, GE=3.629</v>
      </c>
      <c r="C35" s="5" t="s">
        <v>89</v>
      </c>
      <c r="D35" s="5" t="s">
        <v>7</v>
      </c>
      <c r="E35" s="5" t="s">
        <v>7</v>
      </c>
      <c r="F35" s="3" t="str">
        <f>IF(AND(($C$10/1000)&lt;($C$11/1000),($C$11/1000)&lt;($C$12/1000)),"通过","不通过")</f>
        <v>通过</v>
      </c>
      <c r="G35" s="3" t="str">
        <f>IF(AND(F35="通过",$E$10="已确认",$E$11="已确认",$E$12="已确认"),"已确认","需人工确认")</f>
        <v>需人工确认</v>
      </c>
      <c r="H35" s="3" t="s">
        <v>90</v>
      </c>
    </row>
    <row r="36" spans="1:8">
      <c r="A36" s="3" t="s">
        <v>91</v>
      </c>
      <c r="B36" s="5">
        <f>($C$11/1000)-($C$10/1000)</f>
        <v>1.689</v>
      </c>
      <c r="C36" s="5" t="s">
        <v>92</v>
      </c>
      <c r="D36" s="5" t="s">
        <v>7</v>
      </c>
      <c r="E36" s="5" t="s">
        <v>7</v>
      </c>
      <c r="F36" s="3" t="str">
        <f>IF(B36&gt;0,"通过","不通过")</f>
        <v>通过</v>
      </c>
      <c r="G36" s="3" t="str">
        <f>IF(AND(F36="通过",$E$10="已确认",$E$11="已确认"),"已确认","需人工确认")</f>
        <v>需人工确认</v>
      </c>
      <c r="H36" s="3" t="s">
        <v>93</v>
      </c>
    </row>
    <row r="37" spans="1:8">
      <c r="A37" s="3" t="s">
        <v>94</v>
      </c>
      <c r="B37" s="5">
        <f>($C$12/1000)-($C$11/1000)</f>
        <v>1.62</v>
      </c>
      <c r="C37" s="5" t="s">
        <v>95</v>
      </c>
      <c r="D37" s="5" t="s">
        <v>7</v>
      </c>
      <c r="E37" s="5" t="s">
        <v>7</v>
      </c>
      <c r="F37" s="3" t="str">
        <f>IF(B37&gt;0,"通过","不通过")</f>
        <v>通过</v>
      </c>
      <c r="G37" s="3" t="str">
        <f>IF(AND(F37="通过",$E$11="已确认",$E$12="已确认"),"已确认","需人工确认")</f>
        <v>需人工确认</v>
      </c>
      <c r="H37" s="3" t="s">
        <v>96</v>
      </c>
    </row>
    <row r="38" spans="1:8">
      <c r="A38" s="3" t="s">
        <v>97</v>
      </c>
      <c r="B38" s="5">
        <f>DEGREES(ATAN((D28-D26)/(B28-B26)))</f>
        <v>18</v>
      </c>
      <c r="C38" s="5">
        <f>$C$4</f>
        <v>18</v>
      </c>
      <c r="D38" s="5">
        <f>MOD(B38-C38+180,360)-180</f>
        <v>0</v>
      </c>
      <c r="E38" s="5">
        <f>$C$19</f>
        <v>0.05</v>
      </c>
      <c r="F38" s="3" t="str">
        <f>IF(ABS(D38)&lt;=E38,"通过","不通过")</f>
        <v>通过</v>
      </c>
      <c r="G38" s="3" t="str">
        <f>IF(AND(F38="通过",$E$4="已确认",$E$6="已确认",$E$7="已确认",$E$10="已确认",$E$11="已确认",$E$12="已确认"),"已确认","需人工确认")</f>
        <v>需人工确认</v>
      </c>
      <c r="H38" s="3" t="s">
        <v>98</v>
      </c>
    </row>
    <row r="39" spans="1:8">
      <c r="A39" s="3" t="s">
        <v>99</v>
      </c>
      <c r="B39" s="5">
        <f>SQRT((B26-B25)^2+(D26-D25)^2)</f>
        <v>2.09970718461353</v>
      </c>
      <c r="C39" s="5">
        <f>($C$13/1000)</f>
        <v>2.105</v>
      </c>
      <c r="D39" s="5">
        <f>B39-C39</f>
        <v>-0.00529281538646975</v>
      </c>
      <c r="E39" s="5">
        <f>$C$18</f>
        <v>0.01</v>
      </c>
      <c r="F39" s="3" t="str">
        <f>IF(ABS(D39)&lt;=E39,"通过","不通过")</f>
        <v>通过</v>
      </c>
      <c r="G39" s="3" t="str">
        <f>IF(AND(F39="通过",$E$4="已确认",$E$6="已确认",$E$7="已确认",$E$8="已确认",$E$9="已确认",$E$10="已确认",$E$11="已确认",$E$13="已确认"),"已确认","需人工确认")</f>
        <v>需人工确认</v>
      </c>
      <c r="H39" s="3" t="s">
        <v>100</v>
      </c>
    </row>
    <row r="40" spans="1:8">
      <c r="A40" s="3" t="s">
        <v>101</v>
      </c>
      <c r="B40" s="5">
        <f>SQRT((B28-B27)^2+(D28-D27)^2)</f>
        <v>2.89346404141506</v>
      </c>
      <c r="C40" s="5">
        <f>($C$14/1000)</f>
        <v>2.899</v>
      </c>
      <c r="D40" s="5">
        <f>B40-C40</f>
        <v>-0.00553595858493994</v>
      </c>
      <c r="E40" s="5">
        <f>$C$18</f>
        <v>0.01</v>
      </c>
      <c r="F40" s="3" t="str">
        <f>IF(ABS(D40)&lt;=E40,"通过","不通过")</f>
        <v>通过</v>
      </c>
      <c r="G40" s="3" t="str">
        <f>IF(AND(F40="通过",$E$4="已确认",$E$6="已确认",$E$7="已确认",$E$8="已确认",$E$9="已确认",$E$12="已确认",$E$11="已确认",$E$14="已确认"),"已确认","需人工确认")</f>
        <v>需人工确认</v>
      </c>
      <c r="H40" s="3" t="s">
        <v>102</v>
      </c>
    </row>
    <row r="43" spans="1:8">
      <c r="A43" s="2" t="s">
        <v>103</v>
      </c>
      <c r="B43" s="2" t="s">
        <v>7</v>
      </c>
      <c r="C43" s="2" t="s">
        <v>7</v>
      </c>
      <c r="D43" s="2" t="s">
        <v>7</v>
      </c>
      <c r="E43" s="2" t="s">
        <v>7</v>
      </c>
      <c r="F43" s="2" t="s">
        <v>7</v>
      </c>
      <c r="G43" s="2" t="s">
        <v>7</v>
      </c>
      <c r="H43" s="2" t="s">
        <v>7</v>
      </c>
    </row>
  </sheetData>
  <mergeCells count="1">
    <mergeCell ref="A1:J1"/>
  </mergeCells>
  <conditionalFormatting sqref="E4:E19">
    <cfRule type="containsText" dxfId="0" priority="1" operator="between" text="通过">
      <formula>NOT(ISERROR(SEARCH("通过",E4)))</formula>
    </cfRule>
    <cfRule type="containsText" dxfId="1" priority="2" operator="between" text="不通过">
      <formula>NOT(ISERROR(SEARCH("不通过",E4)))</formula>
    </cfRule>
    <cfRule type="containsText" dxfId="2" priority="3" operator="between" text="需人工确认">
      <formula>NOT(ISERROR(SEARCH("需人工确认",E4)))</formula>
    </cfRule>
    <cfRule type="containsText" dxfId="0" priority="4" operator="between" text="已确认">
      <formula>NOT(ISERROR(SEARCH("已确认",E4)))</formula>
    </cfRule>
  </conditionalFormatting>
  <conditionalFormatting sqref="E24:E30">
    <cfRule type="containsText" dxfId="0" priority="5" operator="between" text="通过">
      <formula>NOT(ISERROR(SEARCH("通过",E24)))</formula>
    </cfRule>
    <cfRule type="containsText" dxfId="1" priority="6" operator="between" text="不通过">
      <formula>NOT(ISERROR(SEARCH("不通过",E24)))</formula>
    </cfRule>
    <cfRule type="containsText" dxfId="2" priority="7" operator="between" text="需人工确认">
      <formula>NOT(ISERROR(SEARCH("需人工确认",E24)))</formula>
    </cfRule>
    <cfRule type="containsText" dxfId="0" priority="8" operator="between" text="已确认">
      <formula>NOT(ISERROR(SEARCH("已确认",E24)))</formula>
    </cfRule>
  </conditionalFormatting>
  <conditionalFormatting sqref="F35:G40">
    <cfRule type="containsText" dxfId="0" priority="9" operator="between" text="通过">
      <formula>NOT(ISERROR(SEARCH("通过",F35)))</formula>
    </cfRule>
    <cfRule type="containsText" dxfId="1" priority="10" operator="between" text="不通过">
      <formula>NOT(ISERROR(SEARCH("不通过",F35)))</formula>
    </cfRule>
    <cfRule type="containsText" dxfId="2" priority="11" operator="between" text="需人工确认">
      <formula>NOT(ISERROR(SEARCH("需人工确认",F35)))</formula>
    </cfRule>
    <cfRule type="containsText" dxfId="0" priority="12" operator="between" text="已确认">
      <formula>NOT(ISERROR(SEARCH("已确认",F35)))</formula>
    </cfRule>
  </conditionalFormatting>
  <dataValidations count="1">
    <dataValidation type="list" sqref="E4:E19">
      <formula1>"已确认,需人工确认,暂不使用"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坐标计算总表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LDT</cp:lastModifiedBy>
  <dcterms:created xsi:type="dcterms:W3CDTF">2026-08-01T03:29:00Z</dcterms:created>
  <dcterms:modified xsi:type="dcterms:W3CDTF">2026-08-01T03:39:58Z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1498CCF03FE5492CAA03541C26218FD8_12</vt:lpwstr>
  </property>
  <property fmtid="{D5CDD505-2E9C-101B-9397-08002B2CF9AE}" pid="3" name="KSOProductBuildVer">
    <vt:lpwstr>2052-12.1.0.23542</vt:lpwstr>
  </property>
</Properties>
</file>